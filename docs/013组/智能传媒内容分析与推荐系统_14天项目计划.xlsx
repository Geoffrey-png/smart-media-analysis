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项目概览" sheetId="1" state="visible" r:id="rId1"/>
    <sheet name="里程碑" sheetId="2" state="visible" r:id="rId2"/>
    <sheet name="14天时间表" sheetId="3" state="visible" r:id="rId3"/>
    <sheet name="人员分配" sheetId="4" state="visible" r:id="rId4"/>
    <sheet name="风险与验收" sheetId="5" state="visible" r:id="rId5"/>
    <sheet name="任务分布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b val="1"/>
      <color rgb="001F1F1F"/>
    </font>
    <font>
      <name val="Microsoft YaHei"/>
      <color rgb="001F1F1F"/>
    </font>
    <font>
      <name val="Microsoft YaHei"/>
      <b val="1"/>
      <color rgb="001F4E78"/>
      <sz val="13"/>
    </font>
    <font>
      <name val="Microsoft YaHei"/>
    </font>
    <font>
      <name val="Microsoft YaHei"/>
      <b val="1"/>
      <color rgb="00FFFFFF"/>
    </font>
    <font>
      <name val="Microsoft YaHei"/>
      <b val="1"/>
      <color rgb="00FFFFFF"/>
      <sz val="10"/>
    </font>
    <font>
      <name val="Microsoft YaHei"/>
      <color rgb="001F1F1F"/>
      <sz val="10"/>
    </font>
    <font>
      <name val="Microsoft YaHei"/>
      <color rgb="001F1F1F"/>
      <sz val="11"/>
    </font>
    <font>
      <name val="Microsoft YaHei"/>
      <b val="1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  <border>
      <left/>
      <right/>
      <top style="thin">
        <color rgb="00D9E1F2"/>
      </top>
      <bottom/>
      <diagonal/>
    </border>
    <border>
      <left/>
      <right style="thin">
        <color rgb="00D9E1F2"/>
      </right>
      <top style="thin">
        <color rgb="00D9E1F2"/>
      </top>
      <bottom/>
      <diagonal/>
    </border>
    <border>
      <left/>
      <right/>
      <top style="thin">
        <color rgb="00D9E1F2"/>
      </top>
      <bottom style="thin">
        <color rgb="00D9E1F2"/>
      </bottom>
      <diagonal/>
    </border>
    <border>
      <left/>
      <right style="thin">
        <color rgb="00D9E1F2"/>
      </right>
      <top style="thin">
        <color rgb="00D9E1F2"/>
      </top>
      <bottom style="thin">
        <color rgb="00D9E1F2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3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0" fontId="9" fillId="0" borderId="4" pivotButton="0" quotePrefix="0" xfId="0"/>
    <xf numFmtId="0" fontId="9" fillId="0" borderId="5" pivotButton="0" quotePrefix="0" xfId="0"/>
    <xf numFmtId="0" fontId="4" fillId="0" borderId="0" pivotButton="0" quotePrefix="0" xfId="0"/>
    <xf numFmtId="0" fontId="9" fillId="5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8" fillId="0" borderId="0" applyAlignment="1" pivotButton="0" quotePrefix="0" xfId="0">
      <alignment wrapText="1"/>
    </xf>
    <xf numFmtId="0" fontId="7" fillId="2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164" fontId="8" fillId="0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7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团队任务分布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'任务分布图'!B1</f>
            </strRef>
          </tx>
          <spPr>
            <a:ln>
              <a:prstDash val="solid"/>
            </a:ln>
          </spPr>
          <cat>
            <numRef>
              <f>'任务分布图'!$A$2:$A$4</f>
            </numRef>
          </cat>
          <val>
            <numRef>
              <f>'任务分布图'!$B$2:$B$4</f>
            </numRef>
          </val>
        </ser>
        <ser>
          <idx val="1"/>
          <order val="1"/>
          <tx>
            <strRef>
              <f>'任务分布图'!C1</f>
            </strRef>
          </tx>
          <spPr>
            <a:ln>
              <a:prstDash val="solid"/>
            </a:ln>
          </spPr>
          <cat>
            <numRef>
              <f>'任务分布图'!$A$2:$A$4</f>
            </numRef>
          </cat>
          <val>
            <numRef>
              <f>'任务分布图'!$C$2:$C$4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成员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任务数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ilestoneTable" displayName="MilestoneTable" ref="A1:G6" headerRowCount="1">
  <autoFilter ref="A1:G6"/>
  <tableColumns count="7">
    <tableColumn id="1" name="编号"/>
    <tableColumn id="2" name="里程碑"/>
    <tableColumn id="3" name="开始日期"/>
    <tableColumn id="4" name="结束日期"/>
    <tableColumn id="5" name="交付物"/>
    <tableColumn id="6" name="负责人"/>
    <tableColumn id="7" name="状态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cheduleTable" displayName="ScheduleTable" ref="A1:K28" headerRowCount="1">
  <autoFilter ref="A1:K28"/>
  <tableColumns count="11">
    <tableColumn id="1" name="序号"/>
    <tableColumn id="2" name="日期"/>
    <tableColumn id="3" name="星期"/>
    <tableColumn id="4" name="工作内容"/>
    <tableColumn id="5" name="任务说明"/>
    <tableColumn id="6" name="主责人"/>
    <tableColumn id="7" name="协作人"/>
    <tableColumn id="8" name="里程碑"/>
    <tableColumn id="9" name="优先级"/>
    <tableColumn id="10" name="交付物"/>
    <tableColumn id="11" name="状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eopleTable" displayName="PeopleTable" ref="A1:D4" headerRowCount="1">
  <autoFilter ref="A1:D4"/>
  <tableColumns count="4">
    <tableColumn id="1" name="姓名"/>
    <tableColumn id="2" name="角色"/>
    <tableColumn id="3" name="主要职责"/>
    <tableColumn id="4" name="参与周期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iskTable" displayName="RiskTable" ref="A1:F6" headerRowCount="1">
  <autoFilter ref="A1:F6"/>
  <tableColumns count="6">
    <tableColumn id="1" name="风险编号"/>
    <tableColumn id="2" name="风险描述"/>
    <tableColumn id="3" name="概率"/>
    <tableColumn id="4" name="影响"/>
    <tableColumn id="5" name="应对策略"/>
    <tableColumn id="6" name="负责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30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1" t="inlineStr">
        <is>
          <t>智能传媒内容分析与推荐系统｜14天项目计划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项目名称</t>
        </is>
      </c>
      <c r="B3" s="4" t="inlineStr">
        <is>
          <t>智能传媒内容分析与推荐系统</t>
        </is>
      </c>
      <c r="C3" s="3" t="inlineStr">
        <is>
          <t>计划周期</t>
        </is>
      </c>
      <c r="D3" s="4" t="inlineStr">
        <is>
          <t>2026-05-29 至 2026-06-11</t>
        </is>
      </c>
      <c r="E3" s="2" t="n"/>
      <c r="F3" s="2" t="n"/>
      <c r="G3" s="2" t="n"/>
      <c r="H3" s="2" t="n"/>
    </row>
    <row r="4">
      <c r="A4" s="3" t="inlineStr">
        <is>
          <t>技术栈</t>
        </is>
      </c>
      <c r="B4" s="4" t="inlineStr">
        <is>
          <t>FastAPI + SQLAlchemy + SQLite + Vue 3 + Element Plus + ECharts</t>
        </is>
      </c>
      <c r="C4" s="3" t="inlineStr">
        <is>
          <t>团队规模</t>
        </is>
      </c>
      <c r="D4" s="4" t="inlineStr">
        <is>
          <t>3人</t>
        </is>
      </c>
      <c r="E4" s="2" t="n"/>
      <c r="F4" s="2" t="n"/>
      <c r="G4" s="2" t="n"/>
      <c r="H4" s="2" t="n"/>
    </row>
    <row r="5">
      <c r="A5" s="3" t="inlineStr">
        <is>
          <t>组长</t>
        </is>
      </c>
      <c r="B5" s="4" t="inlineStr">
        <is>
          <t>王淦</t>
        </is>
      </c>
      <c r="C5" s="3" t="inlineStr">
        <is>
          <t>组员</t>
        </is>
      </c>
      <c r="D5" s="4" t="inlineStr">
        <is>
          <t>朱自豪、秦梓洋</t>
        </is>
      </c>
      <c r="E5" s="2" t="n"/>
      <c r="F5" s="2" t="n"/>
      <c r="G5" s="2" t="n"/>
      <c r="H5" s="2" t="n"/>
    </row>
    <row r="6">
      <c r="A6" s="3" t="inlineStr">
        <is>
          <t>项目目标</t>
        </is>
      </c>
      <c r="B6" s="4" t="inlineStr">
        <is>
          <t>形成可运行、可演示、功能闭环完整的智能传媒内容分析与推荐系统</t>
        </is>
      </c>
      <c r="C6" s="3" t="inlineStr">
        <is>
          <t>交付重点</t>
        </is>
      </c>
      <c r="D6" s="4" t="inlineStr">
        <is>
          <t>内容分析、用户画像、个性化推荐、管理员后台、数据看板</t>
        </is>
      </c>
      <c r="E6" s="5" t="n"/>
      <c r="F6" s="5" t="n"/>
      <c r="G6" s="5" t="n"/>
      <c r="H6" s="6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7" t="inlineStr">
        <is>
          <t>核心交付范围</t>
        </is>
      </c>
      <c r="B8" s="2" t="n"/>
      <c r="C8" s="2" t="n"/>
      <c r="D8" s="2" t="n"/>
      <c r="E8" s="2" t="n"/>
      <c r="F8" s="2" t="n"/>
      <c r="G8" s="2" t="n"/>
      <c r="H8" s="2" t="n"/>
    </row>
    <row r="9">
      <c r="A9" s="8" t="n">
        <v>1</v>
      </c>
      <c r="B9" s="9" t="inlineStr">
        <is>
          <t>登录认证与角色权限</t>
        </is>
      </c>
      <c r="C9" s="10" t="n"/>
      <c r="D9" s="10" t="n"/>
      <c r="E9" s="10" t="n"/>
      <c r="F9" s="10" t="n"/>
      <c r="G9" s="10" t="n"/>
      <c r="H9" s="10" t="n"/>
    </row>
    <row r="10">
      <c r="A10" s="8" t="n">
        <v>2</v>
      </c>
      <c r="B10" s="9" t="inlineStr">
        <is>
          <t>新闻采集与内容资产管理</t>
        </is>
      </c>
      <c r="C10" s="10" t="n"/>
      <c r="D10" s="10" t="n"/>
      <c r="E10" s="10" t="n"/>
      <c r="F10" s="10" t="n"/>
      <c r="G10" s="10" t="n"/>
      <c r="H10" s="10" t="n"/>
    </row>
    <row r="11">
      <c r="A11" s="8" t="n">
        <v>3</v>
      </c>
      <c r="B11" s="9" t="inlineStr">
        <is>
          <t>内容摘要/关键词/分类/情感/敏感词分析</t>
        </is>
      </c>
      <c r="C11" s="10" t="n"/>
      <c r="D11" s="10" t="n"/>
      <c r="E11" s="10" t="n"/>
      <c r="F11" s="10" t="n"/>
      <c r="G11" s="10" t="n"/>
      <c r="H11" s="10" t="n"/>
    </row>
    <row r="12">
      <c r="A12" s="8" t="n">
        <v>4</v>
      </c>
      <c r="B12" s="9" t="inlineStr">
        <is>
          <t>用户行为记录与用户画像</t>
        </is>
      </c>
      <c r="C12" s="10" t="n"/>
      <c r="D12" s="10" t="n"/>
      <c r="E12" s="10" t="n"/>
      <c r="F12" s="10" t="n"/>
      <c r="G12" s="10" t="n"/>
      <c r="H12" s="10" t="n"/>
    </row>
    <row r="13">
      <c r="A13" s="8" t="n">
        <v>5</v>
      </c>
      <c r="B13" s="9" t="inlineStr">
        <is>
          <t>热门/个性化/相似/混合推荐</t>
        </is>
      </c>
      <c r="C13" s="10" t="n"/>
      <c r="D13" s="10" t="n"/>
      <c r="E13" s="10" t="n"/>
      <c r="F13" s="10" t="n"/>
      <c r="G13" s="10" t="n"/>
      <c r="H13" s="10" t="n"/>
    </row>
    <row r="14">
      <c r="A14" s="8" t="n">
        <v>6</v>
      </c>
      <c r="B14" s="9" t="inlineStr">
        <is>
          <t>内容审核与操作审计</t>
        </is>
      </c>
      <c r="C14" s="10" t="n"/>
      <c r="D14" s="10" t="n"/>
      <c r="E14" s="10" t="n"/>
      <c r="F14" s="10" t="n"/>
      <c r="G14" s="10" t="n"/>
      <c r="H14" s="10" t="n"/>
    </row>
    <row r="15">
      <c r="A15" s="8" t="n">
        <v>7</v>
      </c>
      <c r="B15" s="9" t="inlineStr">
        <is>
          <t>管理员后台与数据看板</t>
        </is>
      </c>
      <c r="C15" s="10" t="n"/>
      <c r="D15" s="10" t="n"/>
      <c r="E15" s="10" t="n"/>
      <c r="F15" s="10" t="n"/>
      <c r="G15" s="10" t="n"/>
      <c r="H15" s="10" t="n"/>
    </row>
    <row r="16">
      <c r="A16" s="8" t="n">
        <v>8</v>
      </c>
      <c r="B16" s="9" t="inlineStr">
        <is>
          <t>联调测试、README和演示材料</t>
        </is>
      </c>
      <c r="C16" s="10" t="n"/>
      <c r="D16" s="10" t="n"/>
      <c r="E16" s="10" t="n"/>
      <c r="F16" s="10" t="n"/>
      <c r="G16" s="10" t="n"/>
      <c r="H16" s="10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7" t="inlineStr">
        <is>
          <t>计划说明</t>
        </is>
      </c>
      <c r="B18" s="2" t="n"/>
      <c r="C18" s="2" t="n"/>
      <c r="D18" s="2" t="n"/>
      <c r="E18" s="2" t="n"/>
      <c r="F18" s="2" t="n"/>
      <c r="G18" s="2" t="n"/>
      <c r="H18" s="2" t="n"/>
    </row>
    <row r="19">
      <c r="A19" s="11" t="inlineStr">
        <is>
          <t>1. 计划从明天（2026-05-29）开始，连续14天推进，默认包含周末用于实训冲刺。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11" t="inlineStr">
        <is>
          <t>2. 分工采用主责+协作机制：主责人对交付质量负责，协作人负责联调、评审或补位。</t>
        </is>
      </c>
      <c r="B20" s="2" t="n"/>
      <c r="C20" s="2" t="n"/>
      <c r="D20" s="2" t="n"/>
      <c r="E20" s="2" t="n"/>
      <c r="F20" s="2" t="n"/>
      <c r="G20" s="2" t="n"/>
      <c r="H20" s="2" t="n"/>
    </row>
    <row r="21">
      <c r="A21" s="11" t="inlineStr">
        <is>
          <t>3. 第1阶段优先保证可运行闭环；算法以规则和轻量模型为主，保留后续扩展接口。</t>
        </is>
      </c>
      <c r="B21" s="2" t="n"/>
      <c r="C21" s="2" t="n"/>
      <c r="D21" s="2" t="n"/>
      <c r="E21" s="2" t="n"/>
      <c r="F21" s="2" t="n"/>
      <c r="G21" s="2" t="n"/>
      <c r="H21" s="2" t="n"/>
    </row>
    <row r="22">
      <c r="A22" s="11" t="inlineStr">
        <is>
          <t>4. 王淦作为组长负责范围冻结、架构评审、联调推进、代码质量与最终交付把关。</t>
        </is>
      </c>
      <c r="B22" s="2" t="n"/>
      <c r="C22" s="2" t="n"/>
      <c r="D22" s="2" t="n"/>
      <c r="E22" s="2" t="n"/>
      <c r="F22" s="2" t="n"/>
      <c r="G22" s="2" t="n"/>
      <c r="H22" s="2" t="n"/>
    </row>
  </sheetData>
  <mergeCells count="15">
    <mergeCell ref="B14:H14"/>
    <mergeCell ref="A21:H21"/>
    <mergeCell ref="D6:H6"/>
    <mergeCell ref="B9:H9"/>
    <mergeCell ref="B13:H13"/>
    <mergeCell ref="A20:H20"/>
    <mergeCell ref="B12:H12"/>
    <mergeCell ref="B6"/>
    <mergeCell ref="B16:H16"/>
    <mergeCell ref="A19:H19"/>
    <mergeCell ref="B15:H15"/>
    <mergeCell ref="B10:H10"/>
    <mergeCell ref="A1:H1"/>
    <mergeCell ref="B11:H1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4" customWidth="1" min="4" max="4"/>
    <col width="40" customWidth="1" min="5" max="5"/>
    <col width="14" customWidth="1" min="6" max="6"/>
    <col width="12" customWidth="1" min="7" max="7"/>
  </cols>
  <sheetData>
    <row r="1">
      <c r="A1" s="12" t="inlineStr">
        <is>
          <t>编号</t>
        </is>
      </c>
      <c r="B1" s="12" t="inlineStr">
        <is>
          <t>里程碑</t>
        </is>
      </c>
      <c r="C1" s="12" t="inlineStr">
        <is>
          <t>开始日期</t>
        </is>
      </c>
      <c r="D1" s="12" t="inlineStr">
        <is>
          <t>结束日期</t>
        </is>
      </c>
      <c r="E1" s="12" t="inlineStr">
        <is>
          <t>交付物</t>
        </is>
      </c>
      <c r="F1" s="12" t="inlineStr">
        <is>
          <t>负责人</t>
        </is>
      </c>
      <c r="G1" s="12" t="inlineStr">
        <is>
          <t>状态</t>
        </is>
      </c>
    </row>
    <row r="2">
      <c r="A2" s="13" t="inlineStr">
        <is>
          <t>M1</t>
        </is>
      </c>
      <c r="B2" s="13" t="inlineStr">
        <is>
          <t>需求与架构确认</t>
        </is>
      </c>
      <c r="C2" s="14" t="n">
        <v>46171</v>
      </c>
      <c r="D2" s="14" t="n">
        <v>46172</v>
      </c>
      <c r="E2" s="13" t="inlineStr">
        <is>
          <t>需求范围、数据库/接口草案、页面清单</t>
        </is>
      </c>
      <c r="F2" s="13" t="inlineStr">
        <is>
          <t>王淦</t>
        </is>
      </c>
      <c r="G2" s="13" t="inlineStr">
        <is>
          <t>未开始</t>
        </is>
      </c>
    </row>
    <row r="3">
      <c r="A3" s="13" t="inlineStr">
        <is>
          <t>M2</t>
        </is>
      </c>
      <c r="B3" s="13" t="inlineStr">
        <is>
          <t>后端基础与核心数据闭环</t>
        </is>
      </c>
      <c r="C3" s="14" t="n">
        <v>46173</v>
      </c>
      <c r="D3" s="14" t="n">
        <v>46175</v>
      </c>
      <c r="E3" s="13" t="inlineStr">
        <is>
          <t>后端框架、模型、初始化数据、内容管理API</t>
        </is>
      </c>
      <c r="F3" s="13" t="inlineStr">
        <is>
          <t>朱自豪</t>
        </is>
      </c>
      <c r="G3" s="13" t="inlineStr">
        <is>
          <t>未开始</t>
        </is>
      </c>
    </row>
    <row r="4">
      <c r="A4" s="13" t="inlineStr">
        <is>
          <t>M3</t>
        </is>
      </c>
      <c r="B4" s="13" t="inlineStr">
        <is>
          <t>内容分析与推荐核心能力</t>
        </is>
      </c>
      <c r="C4" s="14" t="n">
        <v>46176</v>
      </c>
      <c r="D4" s="14" t="n">
        <v>46178</v>
      </c>
      <c r="E4" s="13" t="inlineStr">
        <is>
          <t>内容分析、用户画像、推荐接口、审核流程</t>
        </is>
      </c>
      <c r="F4" s="13" t="inlineStr">
        <is>
          <t>朱自豪</t>
        </is>
      </c>
      <c r="G4" s="13" t="inlineStr">
        <is>
          <t>未开始</t>
        </is>
      </c>
    </row>
    <row r="5">
      <c r="A5" s="13" t="inlineStr">
        <is>
          <t>M4</t>
        </is>
      </c>
      <c r="B5" s="13" t="inlineStr">
        <is>
          <t>前端页面与可视化闭环</t>
        </is>
      </c>
      <c r="C5" s="14" t="n">
        <v>46179</v>
      </c>
      <c r="D5" s="14" t="n">
        <v>46181</v>
      </c>
      <c r="E5" s="13" t="inlineStr">
        <is>
          <t>登录、仪表盘、内容/用户/推荐/审核页面</t>
        </is>
      </c>
      <c r="F5" s="13" t="inlineStr">
        <is>
          <t>秦梓洋</t>
        </is>
      </c>
      <c r="G5" s="13" t="inlineStr">
        <is>
          <t>未开始</t>
        </is>
      </c>
    </row>
    <row r="6">
      <c r="A6" s="13" t="inlineStr">
        <is>
          <t>M5</t>
        </is>
      </c>
      <c r="B6" s="13" t="inlineStr">
        <is>
          <t>联调测试与演示交付</t>
        </is>
      </c>
      <c r="C6" s="14" t="n">
        <v>46182</v>
      </c>
      <c r="D6" s="14" t="n">
        <v>46184</v>
      </c>
      <c r="E6" s="13" t="inlineStr">
        <is>
          <t>联调修复、验收测试、README、演示材料</t>
        </is>
      </c>
      <c r="F6" s="13" t="inlineStr">
        <is>
          <t>王淦</t>
        </is>
      </c>
      <c r="G6" s="13" t="inlineStr">
        <is>
          <t>未开始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24" customWidth="1" min="4" max="4"/>
    <col width="46" customWidth="1" min="5" max="5"/>
    <col width="12" customWidth="1" min="6" max="6"/>
    <col width="20" customWidth="1" min="7" max="7"/>
    <col width="12" customWidth="1" min="8" max="8"/>
    <col width="10" customWidth="1" min="9" max="9"/>
    <col width="28" customWidth="1" min="10" max="10"/>
    <col width="10" customWidth="1" min="11" max="11"/>
  </cols>
  <sheetData>
    <row r="1">
      <c r="A1" s="12" t="inlineStr">
        <is>
          <t>序号</t>
        </is>
      </c>
      <c r="B1" s="12" t="inlineStr">
        <is>
          <t>日期</t>
        </is>
      </c>
      <c r="C1" s="12" t="inlineStr">
        <is>
          <t>星期</t>
        </is>
      </c>
      <c r="D1" s="12" t="inlineStr">
        <is>
          <t>工作内容</t>
        </is>
      </c>
      <c r="E1" s="12" t="inlineStr">
        <is>
          <t>任务说明</t>
        </is>
      </c>
      <c r="F1" s="12" t="inlineStr">
        <is>
          <t>主责人</t>
        </is>
      </c>
      <c r="G1" s="12" t="inlineStr">
        <is>
          <t>协作人</t>
        </is>
      </c>
      <c r="H1" s="12" t="inlineStr">
        <is>
          <t>里程碑</t>
        </is>
      </c>
      <c r="I1" s="12" t="inlineStr">
        <is>
          <t>优先级</t>
        </is>
      </c>
      <c r="J1" s="12" t="inlineStr">
        <is>
          <t>交付物</t>
        </is>
      </c>
      <c r="K1" s="12" t="inlineStr">
        <is>
          <t>状态</t>
        </is>
      </c>
    </row>
    <row r="2">
      <c r="A2" s="13" t="n">
        <v>1</v>
      </c>
      <c r="B2" s="14" t="n">
        <v>46171</v>
      </c>
      <c r="C2" s="13" t="inlineStr">
        <is>
          <t>周五</t>
        </is>
      </c>
      <c r="D2" s="13" t="inlineStr">
        <is>
          <t>需求复盘与范围冻结</t>
        </is>
      </c>
      <c r="E2" s="13" t="inlineStr">
        <is>
          <t>整理项目目标、角色权限、核心功能清单，明确14天交付边界</t>
        </is>
      </c>
      <c r="F2" s="13" t="inlineStr">
        <is>
          <t>王淦</t>
        </is>
      </c>
      <c r="G2" s="13" t="inlineStr">
        <is>
          <t>朱自豪、秦梓洋</t>
        </is>
      </c>
      <c r="H2" s="13" t="inlineStr">
        <is>
          <t>M1</t>
        </is>
      </c>
      <c r="I2" s="15" t="inlineStr">
        <is>
          <t>高</t>
        </is>
      </c>
      <c r="J2" s="13" t="inlineStr">
        <is>
          <t>需求清单、模块边界、风险清单</t>
        </is>
      </c>
      <c r="K2" s="16" t="inlineStr">
        <is>
          <t>未开始</t>
        </is>
      </c>
    </row>
    <row r="3">
      <c r="A3" s="13" t="n">
        <v>2</v>
      </c>
      <c r="B3" s="14" t="n">
        <v>46171</v>
      </c>
      <c r="C3" s="13" t="inlineStr">
        <is>
          <t>周五</t>
        </is>
      </c>
      <c r="D3" s="13" t="inlineStr">
        <is>
          <t>技术架构与数据库草案</t>
        </is>
      </c>
      <c r="E3" s="13" t="inlineStr">
        <is>
          <t>确认FastAPI+Vue3架构，梳理contents/users/behaviors/categories/tags等核心表</t>
        </is>
      </c>
      <c r="F3" s="13" t="inlineStr">
        <is>
          <t>王淦</t>
        </is>
      </c>
      <c r="G3" s="13" t="inlineStr">
        <is>
          <t>朱自豪</t>
        </is>
      </c>
      <c r="H3" s="13" t="inlineStr">
        <is>
          <t>M1</t>
        </is>
      </c>
      <c r="I3" s="15" t="inlineStr">
        <is>
          <t>高</t>
        </is>
      </c>
      <c r="J3" s="13" t="inlineStr">
        <is>
          <t>架构图说明、数据库字段草案</t>
        </is>
      </c>
      <c r="K3" s="16" t="inlineStr">
        <is>
          <t>未开始</t>
        </is>
      </c>
    </row>
    <row r="4">
      <c r="A4" s="13" t="n">
        <v>3</v>
      </c>
      <c r="B4" s="14" t="n">
        <v>46172</v>
      </c>
      <c r="C4" s="13" t="inlineStr">
        <is>
          <t>周六</t>
        </is>
      </c>
      <c r="D4" s="13" t="inlineStr">
        <is>
          <t>接口清单与页面路由设计</t>
        </is>
      </c>
      <c r="E4" s="13" t="inlineStr">
        <is>
          <t>整理登录、内容、用户、行为、画像、推荐、审核、统计、上传等接口与前端页面路由</t>
        </is>
      </c>
      <c r="F4" s="13" t="inlineStr">
        <is>
          <t>王淦</t>
        </is>
      </c>
      <c r="G4" s="13" t="inlineStr">
        <is>
          <t>秦梓洋</t>
        </is>
      </c>
      <c r="H4" s="13" t="inlineStr">
        <is>
          <t>M1</t>
        </is>
      </c>
      <c r="I4" s="15" t="inlineStr">
        <is>
          <t>高</t>
        </is>
      </c>
      <c r="J4" s="13" t="inlineStr">
        <is>
          <t>接口清单、页面路由表</t>
        </is>
      </c>
      <c r="K4" s="16" t="inlineStr">
        <is>
          <t>未开始</t>
        </is>
      </c>
    </row>
    <row r="5">
      <c r="A5" s="13" t="n">
        <v>4</v>
      </c>
      <c r="B5" s="14" t="n">
        <v>46172</v>
      </c>
      <c r="C5" s="13" t="inlineStr">
        <is>
          <t>周六</t>
        </is>
      </c>
      <c r="D5" s="13" t="inlineStr">
        <is>
          <t>开发环境与启动脚本检查</t>
        </is>
      </c>
      <c r="E5" s="13" t="inlineStr">
        <is>
          <t>检查后端虚拟环境、前端依赖、初始化脚本和README启动流程</t>
        </is>
      </c>
      <c r="F5" s="13" t="inlineStr">
        <is>
          <t>秦梓洋</t>
        </is>
      </c>
      <c r="G5" s="13" t="inlineStr">
        <is>
          <t>王淦</t>
        </is>
      </c>
      <c r="H5" s="13" t="inlineStr">
        <is>
          <t>M1</t>
        </is>
      </c>
      <c r="I5" s="13" t="inlineStr">
        <is>
          <t>中</t>
        </is>
      </c>
      <c r="J5" s="13" t="inlineStr">
        <is>
          <t>环境检查记录、可启动说明</t>
        </is>
      </c>
      <c r="K5" s="16" t="inlineStr">
        <is>
          <t>未开始</t>
        </is>
      </c>
    </row>
    <row r="6">
      <c r="A6" s="13" t="n">
        <v>5</v>
      </c>
      <c r="B6" s="14" t="n">
        <v>46173</v>
      </c>
      <c r="C6" s="13" t="inlineStr">
        <is>
          <t>周日</t>
        </is>
      </c>
      <c r="D6" s="13" t="inlineStr">
        <is>
          <t>后端基础框架加固</t>
        </is>
      </c>
      <c r="E6" s="13" t="inlineStr">
        <is>
          <t>完善FastAPI入口、CORS、统一响应、异常处理、配置与数据库连接</t>
        </is>
      </c>
      <c r="F6" s="13" t="inlineStr">
        <is>
          <t>朱自豪</t>
        </is>
      </c>
      <c r="G6" s="13" t="inlineStr">
        <is>
          <t>王淦</t>
        </is>
      </c>
      <c r="H6" s="13" t="inlineStr">
        <is>
          <t>M2</t>
        </is>
      </c>
      <c r="I6" s="15" t="inlineStr">
        <is>
          <t>高</t>
        </is>
      </c>
      <c r="J6" s="13" t="inlineStr">
        <is>
          <t>后端基础框架可运行</t>
        </is>
      </c>
      <c r="K6" s="16" t="inlineStr">
        <is>
          <t>未开始</t>
        </is>
      </c>
    </row>
    <row r="7">
      <c r="A7" s="13" t="n">
        <v>6</v>
      </c>
      <c r="B7" s="14" t="n">
        <v>46173</v>
      </c>
      <c r="C7" s="13" t="inlineStr">
        <is>
          <t>周日</t>
        </is>
      </c>
      <c r="D7" s="13" t="inlineStr">
        <is>
          <t>用户与权限模型实现</t>
        </is>
      </c>
      <c r="E7" s="13" t="inlineStr">
        <is>
          <t>完善JWT登录、角色权限、账号状态、管理员保护逻辑</t>
        </is>
      </c>
      <c r="F7" s="13" t="inlineStr">
        <is>
          <t>朱自豪</t>
        </is>
      </c>
      <c r="G7" s="13" t="inlineStr">
        <is>
          <t>王淦</t>
        </is>
      </c>
      <c r="H7" s="13" t="inlineStr">
        <is>
          <t>M2</t>
        </is>
      </c>
      <c r="I7" s="15" t="inlineStr">
        <is>
          <t>高</t>
        </is>
      </c>
      <c r="J7" s="13" t="inlineStr">
        <is>
          <t>登录认证与权限校验可用</t>
        </is>
      </c>
      <c r="K7" s="16" t="inlineStr">
        <is>
          <t>未开始</t>
        </is>
      </c>
    </row>
    <row r="8">
      <c r="A8" s="13" t="n">
        <v>7</v>
      </c>
      <c r="B8" s="14" t="n">
        <v>46174</v>
      </c>
      <c r="C8" s="13" t="inlineStr">
        <is>
          <t>周一</t>
        </is>
      </c>
      <c r="D8" s="13" t="inlineStr">
        <is>
          <t>内容管理与文件上传API</t>
        </is>
      </c>
      <c r="E8" s="13" t="inlineStr">
        <is>
          <t>实现内容增删改查、分页筛选、状态管理、封面/附件上传接口</t>
        </is>
      </c>
      <c r="F8" s="13" t="inlineStr">
        <is>
          <t>朱自豪</t>
        </is>
      </c>
      <c r="G8" s="13" t="inlineStr">
        <is>
          <t>秦梓洋</t>
        </is>
      </c>
      <c r="H8" s="13" t="inlineStr">
        <is>
          <t>M2</t>
        </is>
      </c>
      <c r="I8" s="15" t="inlineStr">
        <is>
          <t>高</t>
        </is>
      </c>
      <c r="J8" s="13" t="inlineStr">
        <is>
          <t>内容管理API完成并可测试</t>
        </is>
      </c>
      <c r="K8" s="16" t="inlineStr">
        <is>
          <t>未开始</t>
        </is>
      </c>
    </row>
    <row r="9">
      <c r="A9" s="13" t="n">
        <v>8</v>
      </c>
      <c r="B9" s="14" t="n">
        <v>46174</v>
      </c>
      <c r="C9" s="13" t="inlineStr">
        <is>
          <t>周一</t>
        </is>
      </c>
      <c r="D9" s="13" t="inlineStr">
        <is>
          <t>新闻采集与操作日志</t>
        </is>
      </c>
      <c r="E9" s="13" t="inlineStr">
        <is>
          <t>实现RSS新闻源采集、来源记录、采集审计日志</t>
        </is>
      </c>
      <c r="F9" s="13" t="inlineStr">
        <is>
          <t>朱自豪</t>
        </is>
      </c>
      <c r="G9" s="13" t="inlineStr">
        <is>
          <t>王淦</t>
        </is>
      </c>
      <c r="H9" s="13" t="inlineStr">
        <is>
          <t>M2</t>
        </is>
      </c>
      <c r="I9" s="15" t="inlineStr">
        <is>
          <t>高</t>
        </is>
      </c>
      <c r="J9" s="13" t="inlineStr">
        <is>
          <t>新闻采集闭环</t>
        </is>
      </c>
      <c r="K9" s="16" t="inlineStr">
        <is>
          <t>未开始</t>
        </is>
      </c>
    </row>
    <row r="10">
      <c r="A10" s="13" t="n">
        <v>9</v>
      </c>
      <c r="B10" s="14" t="n">
        <v>46175</v>
      </c>
      <c r="C10" s="13" t="inlineStr">
        <is>
          <t>周二</t>
        </is>
      </c>
      <c r="D10" s="13" t="inlineStr">
        <is>
          <t>初始化演示数据完善</t>
        </is>
      </c>
      <c r="E10" s="13" t="inlineStr">
        <is>
          <t>补充内容、用户、行为、分类、标签和角色演示数据</t>
        </is>
      </c>
      <c r="F10" s="13" t="inlineStr">
        <is>
          <t>王淦</t>
        </is>
      </c>
      <c r="G10" s="13" t="inlineStr">
        <is>
          <t>朱自豪</t>
        </is>
      </c>
      <c r="H10" s="13" t="inlineStr">
        <is>
          <t>M2</t>
        </is>
      </c>
      <c r="I10" s="15" t="inlineStr">
        <is>
          <t>高</t>
        </is>
      </c>
      <c r="J10" s="13" t="inlineStr">
        <is>
          <t>演示数据库可复现</t>
        </is>
      </c>
      <c r="K10" s="16" t="inlineStr">
        <is>
          <t>未开始</t>
        </is>
      </c>
    </row>
    <row r="11">
      <c r="A11" s="13" t="n">
        <v>10</v>
      </c>
      <c r="B11" s="14" t="n">
        <v>46175</v>
      </c>
      <c r="C11" s="13" t="inlineStr">
        <is>
          <t>周二</t>
        </is>
      </c>
      <c r="D11" s="13" t="inlineStr">
        <is>
          <t>后端接口自测</t>
        </is>
      </c>
      <c r="E11" s="13" t="inlineStr">
        <is>
          <t>用API文档或脚本测试核心接口，记录问题并修复</t>
        </is>
      </c>
      <c r="F11" s="13" t="inlineStr">
        <is>
          <t>王淦</t>
        </is>
      </c>
      <c r="G11" s="13" t="inlineStr">
        <is>
          <t>朱自豪</t>
        </is>
      </c>
      <c r="H11" s="13" t="inlineStr">
        <is>
          <t>M2</t>
        </is>
      </c>
      <c r="I11" s="15" t="inlineStr">
        <is>
          <t>高</t>
        </is>
      </c>
      <c r="J11" s="13" t="inlineStr">
        <is>
          <t>接口自测记录</t>
        </is>
      </c>
      <c r="K11" s="16" t="inlineStr">
        <is>
          <t>未开始</t>
        </is>
      </c>
    </row>
    <row r="12">
      <c r="A12" s="13" t="n">
        <v>11</v>
      </c>
      <c r="B12" s="14" t="n">
        <v>46176</v>
      </c>
      <c r="C12" s="13" t="inlineStr">
        <is>
          <t>周三</t>
        </is>
      </c>
      <c r="D12" s="13" t="inlineStr">
        <is>
          <t>内容智能分析算法</t>
        </is>
      </c>
      <c r="E12" s="13" t="inlineStr">
        <is>
          <t>实现摘要、关键词、分类、情感、敏感词、热度分、质量分</t>
        </is>
      </c>
      <c r="F12" s="13" t="inlineStr">
        <is>
          <t>朱自豪</t>
        </is>
      </c>
      <c r="G12" s="13" t="inlineStr">
        <is>
          <t>王淦</t>
        </is>
      </c>
      <c r="H12" s="13" t="inlineStr">
        <is>
          <t>M3</t>
        </is>
      </c>
      <c r="I12" s="15" t="inlineStr">
        <is>
          <t>高</t>
        </is>
      </c>
      <c r="J12" s="13" t="inlineStr">
        <is>
          <t>内容分析接口可返回结果</t>
        </is>
      </c>
      <c r="K12" s="16" t="inlineStr">
        <is>
          <t>未开始</t>
        </is>
      </c>
    </row>
    <row r="13">
      <c r="A13" s="13" t="n">
        <v>12</v>
      </c>
      <c r="B13" s="14" t="n">
        <v>46177</v>
      </c>
      <c r="C13" s="13" t="inlineStr">
        <is>
          <t>周四</t>
        </is>
      </c>
      <c r="D13" s="13" t="inlineStr">
        <is>
          <t>用户行为与画像更新</t>
        </is>
      </c>
      <c r="E13" s="13" t="inlineStr">
        <is>
          <t>实现view/like/favorite/comment/share/dislike行为记录及画像权重更新</t>
        </is>
      </c>
      <c r="F13" s="13" t="inlineStr">
        <is>
          <t>朱自豪</t>
        </is>
      </c>
      <c r="G13" s="13" t="inlineStr">
        <is>
          <t>秦梓洋</t>
        </is>
      </c>
      <c r="H13" s="13" t="inlineStr">
        <is>
          <t>M3</t>
        </is>
      </c>
      <c r="I13" s="15" t="inlineStr">
        <is>
          <t>高</t>
        </is>
      </c>
      <c r="J13" s="13" t="inlineStr">
        <is>
          <t>行为影响画像数据</t>
        </is>
      </c>
      <c r="K13" s="16" t="inlineStr">
        <is>
          <t>未开始</t>
        </is>
      </c>
    </row>
    <row r="14">
      <c r="A14" s="13" t="n">
        <v>13</v>
      </c>
      <c r="B14" s="14" t="n">
        <v>46177</v>
      </c>
      <c r="C14" s="13" t="inlineStr">
        <is>
          <t>周四</t>
        </is>
      </c>
      <c r="D14" s="13" t="inlineStr">
        <is>
          <t>推荐算法与推荐接口</t>
        </is>
      </c>
      <c r="E14" s="13" t="inlineStr">
        <is>
          <t>实现热门推荐、画像匹配推荐、相似推荐、混合推荐和推荐原因</t>
        </is>
      </c>
      <c r="F14" s="13" t="inlineStr">
        <is>
          <t>朱自豪</t>
        </is>
      </c>
      <c r="G14" s="13" t="inlineStr">
        <is>
          <t>王淦</t>
        </is>
      </c>
      <c r="H14" s="13" t="inlineStr">
        <is>
          <t>M3</t>
        </is>
      </c>
      <c r="I14" s="15" t="inlineStr">
        <is>
          <t>高</t>
        </is>
      </c>
      <c r="J14" s="13" t="inlineStr">
        <is>
          <t>推荐接口可演示</t>
        </is>
      </c>
      <c r="K14" s="16" t="inlineStr">
        <is>
          <t>未开始</t>
        </is>
      </c>
    </row>
    <row r="15">
      <c r="A15" s="13" t="n">
        <v>14</v>
      </c>
      <c r="B15" s="14" t="n">
        <v>46178</v>
      </c>
      <c r="C15" s="13" t="inlineStr">
        <is>
          <t>周五</t>
        </is>
      </c>
      <c r="D15" s="13" t="inlineStr">
        <is>
          <t>内容审核与统计接口</t>
        </is>
      </c>
      <c r="E15" s="13" t="inlineStr">
        <is>
          <t>实现待审核、通过、拒绝、下架、审核意见、推荐效果统计接口</t>
        </is>
      </c>
      <c r="F15" s="13" t="inlineStr">
        <is>
          <t>朱自豪</t>
        </is>
      </c>
      <c r="G15" s="13" t="inlineStr">
        <is>
          <t>秦梓洋</t>
        </is>
      </c>
      <c r="H15" s="13" t="inlineStr">
        <is>
          <t>M3</t>
        </is>
      </c>
      <c r="I15" s="15" t="inlineStr">
        <is>
          <t>高</t>
        </is>
      </c>
      <c r="J15" s="13" t="inlineStr">
        <is>
          <t>审核与统计接口可用</t>
        </is>
      </c>
      <c r="K15" s="16" t="inlineStr">
        <is>
          <t>未开始</t>
        </is>
      </c>
    </row>
    <row r="16">
      <c r="A16" s="13" t="n">
        <v>15</v>
      </c>
      <c r="B16" s="14" t="n">
        <v>46178</v>
      </c>
      <c r="C16" s="13" t="inlineStr">
        <is>
          <t>周五</t>
        </is>
      </c>
      <c r="D16" s="13" t="inlineStr">
        <is>
          <t>算法和权限专项评审</t>
        </is>
      </c>
      <c r="E16" s="13" t="inlineStr">
        <is>
          <t>王淦审查算法合理性、权限边界和关键代码质量</t>
        </is>
      </c>
      <c r="F16" s="13" t="inlineStr">
        <is>
          <t>王淦</t>
        </is>
      </c>
      <c r="G16" s="13" t="inlineStr">
        <is>
          <t>朱自豪</t>
        </is>
      </c>
      <c r="H16" s="13" t="inlineStr">
        <is>
          <t>M3</t>
        </is>
      </c>
      <c r="I16" s="15" t="inlineStr">
        <is>
          <t>高</t>
        </is>
      </c>
      <c r="J16" s="13" t="inlineStr">
        <is>
          <t>评审问题清单和修复建议</t>
        </is>
      </c>
      <c r="K16" s="16" t="inlineStr">
        <is>
          <t>未开始</t>
        </is>
      </c>
    </row>
    <row r="17">
      <c r="A17" s="13" t="n">
        <v>16</v>
      </c>
      <c r="B17" s="14" t="n">
        <v>46179</v>
      </c>
      <c r="C17" s="13" t="inlineStr">
        <is>
          <t>周六</t>
        </is>
      </c>
      <c r="D17" s="13" t="inlineStr">
        <is>
          <t>前端基础框架与布局</t>
        </is>
      </c>
      <c r="E17" s="13" t="inlineStr">
        <is>
          <t>完善Vue3、Pinia、路由、Axios封装、菜单权限和分析平台风格布局</t>
        </is>
      </c>
      <c r="F17" s="13" t="inlineStr">
        <is>
          <t>秦梓洋</t>
        </is>
      </c>
      <c r="G17" s="13" t="inlineStr">
        <is>
          <t>王淦</t>
        </is>
      </c>
      <c r="H17" s="13" t="inlineStr">
        <is>
          <t>M4</t>
        </is>
      </c>
      <c r="I17" s="15" t="inlineStr">
        <is>
          <t>高</t>
        </is>
      </c>
      <c r="J17" s="13" t="inlineStr">
        <is>
          <t>前端基础布局完成</t>
        </is>
      </c>
      <c r="K17" s="16" t="inlineStr">
        <is>
          <t>未开始</t>
        </is>
      </c>
    </row>
    <row r="18">
      <c r="A18" s="13" t="n">
        <v>17</v>
      </c>
      <c r="B18" s="14" t="n">
        <v>46179</v>
      </c>
      <c r="C18" s="13" t="inlineStr">
        <is>
          <t>周六</t>
        </is>
      </c>
      <c r="D18" s="13" t="inlineStr">
        <is>
          <t>登录与管理员后台页面</t>
        </is>
      </c>
      <c r="E18" s="13" t="inlineStr">
        <is>
          <t>实现登录页、管理员后台、用户管理、角色状态展示</t>
        </is>
      </c>
      <c r="F18" s="13" t="inlineStr">
        <is>
          <t>秦梓洋</t>
        </is>
      </c>
      <c r="G18" s="13" t="inlineStr">
        <is>
          <t>朱自豪</t>
        </is>
      </c>
      <c r="H18" s="13" t="inlineStr">
        <is>
          <t>M4</t>
        </is>
      </c>
      <c r="I18" s="15" t="inlineStr">
        <is>
          <t>高</t>
        </is>
      </c>
      <c r="J18" s="13" t="inlineStr">
        <is>
          <t>登录和后台页面可操作</t>
        </is>
      </c>
      <c r="K18" s="16" t="inlineStr">
        <is>
          <t>未开始</t>
        </is>
      </c>
    </row>
    <row r="19">
      <c r="A19" s="13" t="n">
        <v>18</v>
      </c>
      <c r="B19" s="14" t="n">
        <v>46180</v>
      </c>
      <c r="C19" s="13" t="inlineStr">
        <is>
          <t>周日</t>
        </is>
      </c>
      <c r="D19" s="13" t="inlineStr">
        <is>
          <t>内容资产与智能分析页面</t>
        </is>
      </c>
      <c r="E19" s="13" t="inlineStr">
        <is>
          <t>实现内容列表、详情、新增编辑、智能分析、审核操作页面</t>
        </is>
      </c>
      <c r="F19" s="13" t="inlineStr">
        <is>
          <t>秦梓洋</t>
        </is>
      </c>
      <c r="G19" s="13" t="inlineStr">
        <is>
          <t>朱自豪</t>
        </is>
      </c>
      <c r="H19" s="13" t="inlineStr">
        <is>
          <t>M4</t>
        </is>
      </c>
      <c r="I19" s="15" t="inlineStr">
        <is>
          <t>高</t>
        </is>
      </c>
      <c r="J19" s="13" t="inlineStr">
        <is>
          <t>内容业务页面闭环</t>
        </is>
      </c>
      <c r="K19" s="16" t="inlineStr">
        <is>
          <t>未开始</t>
        </is>
      </c>
    </row>
    <row r="20">
      <c r="A20" s="13" t="n">
        <v>19</v>
      </c>
      <c r="B20" s="14" t="n">
        <v>46180</v>
      </c>
      <c r="C20" s="13" t="inlineStr">
        <is>
          <t>周日</t>
        </is>
      </c>
      <c r="D20" s="13" t="inlineStr">
        <is>
          <t>用户画像与推荐实验页面</t>
        </is>
      </c>
      <c r="E20" s="13" t="inlineStr">
        <is>
          <t>实现用户画像、推荐结果、推荐原因、推荐效果分析页面</t>
        </is>
      </c>
      <c r="F20" s="13" t="inlineStr">
        <is>
          <t>秦梓洋</t>
        </is>
      </c>
      <c r="G20" s="13" t="inlineStr">
        <is>
          <t>朱自豪</t>
        </is>
      </c>
      <c r="H20" s="13" t="inlineStr">
        <is>
          <t>M4</t>
        </is>
      </c>
      <c r="I20" s="15" t="inlineStr">
        <is>
          <t>高</t>
        </is>
      </c>
      <c r="J20" s="13" t="inlineStr">
        <is>
          <t>画像和推荐页面可演示</t>
        </is>
      </c>
      <c r="K20" s="16" t="inlineStr">
        <is>
          <t>未开始</t>
        </is>
      </c>
    </row>
    <row r="21">
      <c r="A21" s="13" t="n">
        <v>20</v>
      </c>
      <c r="B21" s="14" t="n">
        <v>46181</v>
      </c>
      <c r="C21" s="13" t="inlineStr">
        <is>
          <t>周一</t>
        </is>
      </c>
      <c r="D21" s="13" t="inlineStr">
        <is>
          <t>数据看板与ECharts图表</t>
        </is>
      </c>
      <c r="E21" s="13" t="inlineStr">
        <is>
          <t>完成指标卡、行为趋势、分类分布、热门内容、CTR等图表</t>
        </is>
      </c>
      <c r="F21" s="13" t="inlineStr">
        <is>
          <t>秦梓洋</t>
        </is>
      </c>
      <c r="G21" s="13" t="inlineStr">
        <is>
          <t>王淦</t>
        </is>
      </c>
      <c r="H21" s="13" t="inlineStr">
        <is>
          <t>M4</t>
        </is>
      </c>
      <c r="I21" s="15" t="inlineStr">
        <is>
          <t>高</t>
        </is>
      </c>
      <c r="J21" s="13" t="inlineStr">
        <is>
          <t>数据看板完成</t>
        </is>
      </c>
      <c r="K21" s="16" t="inlineStr">
        <is>
          <t>未开始</t>
        </is>
      </c>
    </row>
    <row r="22">
      <c r="A22" s="13" t="n">
        <v>21</v>
      </c>
      <c r="B22" s="14" t="n">
        <v>46181</v>
      </c>
      <c r="C22" s="13" t="inlineStr">
        <is>
          <t>周一</t>
        </is>
      </c>
      <c r="D22" s="13" t="inlineStr">
        <is>
          <t>前端交互与样式优化</t>
        </is>
      </c>
      <c r="E22" s="13" t="inlineStr">
        <is>
          <t>补充加载态、空状态、表单校验、删除确认、分析平台视觉优化</t>
        </is>
      </c>
      <c r="F22" s="13" t="inlineStr">
        <is>
          <t>秦梓洋</t>
        </is>
      </c>
      <c r="G22" s="13" t="inlineStr">
        <is>
          <t>王淦</t>
        </is>
      </c>
      <c r="H22" s="13" t="inlineStr">
        <is>
          <t>M4</t>
        </is>
      </c>
      <c r="I22" s="13" t="inlineStr">
        <is>
          <t>中</t>
        </is>
      </c>
      <c r="J22" s="13" t="inlineStr">
        <is>
          <t>前端体验优化记录</t>
        </is>
      </c>
      <c r="K22" s="16" t="inlineStr">
        <is>
          <t>未开始</t>
        </is>
      </c>
    </row>
    <row r="23">
      <c r="A23" s="13" t="n">
        <v>22</v>
      </c>
      <c r="B23" s="14" t="n">
        <v>46182</v>
      </c>
      <c r="C23" s="13" t="inlineStr">
        <is>
          <t>周二</t>
        </is>
      </c>
      <c r="D23" s="13" t="inlineStr">
        <is>
          <t>前后端联调</t>
        </is>
      </c>
      <c r="E23" s="13" t="inlineStr">
        <is>
          <t>围绕登录、内容、采集、分析、画像、推荐、审核、统计进行全链路联调</t>
        </is>
      </c>
      <c r="F23" s="13" t="inlineStr">
        <is>
          <t>王淦</t>
        </is>
      </c>
      <c r="G23" s="13" t="inlineStr">
        <is>
          <t>朱自豪、秦梓洋</t>
        </is>
      </c>
      <c r="H23" s="13" t="inlineStr">
        <is>
          <t>M5</t>
        </is>
      </c>
      <c r="I23" s="15" t="inlineStr">
        <is>
          <t>高</t>
        </is>
      </c>
      <c r="J23" s="13" t="inlineStr">
        <is>
          <t>联调问题清单</t>
        </is>
      </c>
      <c r="K23" s="16" t="inlineStr">
        <is>
          <t>未开始</t>
        </is>
      </c>
    </row>
    <row r="24">
      <c r="A24" s="13" t="n">
        <v>23</v>
      </c>
      <c r="B24" s="14" t="n">
        <v>46182</v>
      </c>
      <c r="C24" s="13" t="inlineStr">
        <is>
          <t>周二</t>
        </is>
      </c>
      <c r="D24" s="13" t="inlineStr">
        <is>
          <t>缺陷修复与回归测试</t>
        </is>
      </c>
      <c r="E24" s="13" t="inlineStr">
        <is>
          <t>修复联调发现的问题，完成关键路径回归测试</t>
        </is>
      </c>
      <c r="F24" s="13" t="inlineStr">
        <is>
          <t>朱自豪</t>
        </is>
      </c>
      <c r="G24" s="13" t="inlineStr">
        <is>
          <t>王淦、秦梓洋</t>
        </is>
      </c>
      <c r="H24" s="13" t="inlineStr">
        <is>
          <t>M5</t>
        </is>
      </c>
      <c r="I24" s="15" t="inlineStr">
        <is>
          <t>高</t>
        </is>
      </c>
      <c r="J24" s="13" t="inlineStr">
        <is>
          <t>缺陷修复记录、回归结果</t>
        </is>
      </c>
      <c r="K24" s="16" t="inlineStr">
        <is>
          <t>未开始</t>
        </is>
      </c>
    </row>
    <row r="25">
      <c r="A25" s="13" t="n">
        <v>24</v>
      </c>
      <c r="B25" s="14" t="n">
        <v>46183</v>
      </c>
      <c r="C25" s="13" t="inlineStr">
        <is>
          <t>周三</t>
        </is>
      </c>
      <c r="D25" s="13" t="inlineStr">
        <is>
          <t>验收测试与演示脚本</t>
        </is>
      </c>
      <c r="E25" s="13" t="inlineStr">
        <is>
          <t>按验收标准检查启动、接口、页面、算法、推荐和数据看板，准备演示流程</t>
        </is>
      </c>
      <c r="F25" s="13" t="inlineStr">
        <is>
          <t>秦梓洋</t>
        </is>
      </c>
      <c r="G25" s="13" t="inlineStr">
        <is>
          <t>王淦</t>
        </is>
      </c>
      <c r="H25" s="13" t="inlineStr">
        <is>
          <t>M5</t>
        </is>
      </c>
      <c r="I25" s="15" t="inlineStr">
        <is>
          <t>高</t>
        </is>
      </c>
      <c r="J25" s="13" t="inlineStr">
        <is>
          <t>验收清单、演示脚本</t>
        </is>
      </c>
      <c r="K25" s="16" t="inlineStr">
        <is>
          <t>未开始</t>
        </is>
      </c>
    </row>
    <row r="26">
      <c r="A26" s="13" t="n">
        <v>25</v>
      </c>
      <c r="B26" s="14" t="n">
        <v>46183</v>
      </c>
      <c r="C26" s="13" t="inlineStr">
        <is>
          <t>周三</t>
        </is>
      </c>
      <c r="D26" s="13" t="inlineStr">
        <is>
          <t>README与项目文档完善</t>
        </is>
      </c>
      <c r="E26" s="13" t="inlineStr">
        <is>
          <t>补充运行说明、账号说明、功能说明、扩展方向和已知问题</t>
        </is>
      </c>
      <c r="F26" s="13" t="inlineStr">
        <is>
          <t>王淦</t>
        </is>
      </c>
      <c r="G26" s="13" t="inlineStr">
        <is>
          <t>秦梓洋</t>
        </is>
      </c>
      <c r="H26" s="13" t="inlineStr">
        <is>
          <t>M5</t>
        </is>
      </c>
      <c r="I26" s="13" t="inlineStr">
        <is>
          <t>中</t>
        </is>
      </c>
      <c r="J26" s="13" t="inlineStr">
        <is>
          <t>README和项目文档</t>
        </is>
      </c>
      <c r="K26" s="16" t="inlineStr">
        <is>
          <t>未开始</t>
        </is>
      </c>
    </row>
    <row r="27">
      <c r="A27" s="13" t="n">
        <v>26</v>
      </c>
      <c r="B27" s="14" t="n">
        <v>46184</v>
      </c>
      <c r="C27" s="13" t="inlineStr">
        <is>
          <t>周四</t>
        </is>
      </c>
      <c r="D27" s="13" t="inlineStr">
        <is>
          <t>最终代码质量检查</t>
        </is>
      </c>
      <c r="E27" s="13" t="inlineStr">
        <is>
          <t>检查目录结构、命名、异常处理、权限校验、注释、无明显语法错误</t>
        </is>
      </c>
      <c r="F27" s="13" t="inlineStr">
        <is>
          <t>王淦</t>
        </is>
      </c>
      <c r="G27" s="13" t="inlineStr">
        <is>
          <t>朱自豪</t>
        </is>
      </c>
      <c r="H27" s="13" t="inlineStr">
        <is>
          <t>M5</t>
        </is>
      </c>
      <c r="I27" s="15" t="inlineStr">
        <is>
          <t>高</t>
        </is>
      </c>
      <c r="J27" s="13" t="inlineStr">
        <is>
          <t>代码质量检查记录</t>
        </is>
      </c>
      <c r="K27" s="16" t="inlineStr">
        <is>
          <t>未开始</t>
        </is>
      </c>
    </row>
    <row r="28">
      <c r="A28" s="13" t="n">
        <v>27</v>
      </c>
      <c r="B28" s="14" t="n">
        <v>46184</v>
      </c>
      <c r="C28" s="13" t="inlineStr">
        <is>
          <t>周四</t>
        </is>
      </c>
      <c r="D28" s="13" t="inlineStr">
        <is>
          <t>成果打包与答辩准备</t>
        </is>
      </c>
      <c r="E28" s="13" t="inlineStr">
        <is>
          <t>整理演示数据、截图、项目亮点、分工说明和风险说明</t>
        </is>
      </c>
      <c r="F28" s="13" t="inlineStr">
        <is>
          <t>王淦</t>
        </is>
      </c>
      <c r="G28" s="13" t="inlineStr">
        <is>
          <t>朱自豪、秦梓洋</t>
        </is>
      </c>
      <c r="H28" s="13" t="inlineStr">
        <is>
          <t>M5</t>
        </is>
      </c>
      <c r="I28" s="15" t="inlineStr">
        <is>
          <t>高</t>
        </is>
      </c>
      <c r="J28" s="13" t="inlineStr">
        <is>
          <t>可演示成果包</t>
        </is>
      </c>
      <c r="K28" s="16" t="inlineStr">
        <is>
          <t>未开始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6" customWidth="1" min="3" max="3"/>
    <col width="18" customWidth="1" min="4" max="4"/>
    <col width="14" customWidth="1" min="5" max="5"/>
  </cols>
  <sheetData>
    <row r="1">
      <c r="A1" s="12" t="inlineStr">
        <is>
          <t>姓名</t>
        </is>
      </c>
      <c r="B1" s="12" t="inlineStr">
        <is>
          <t>角色</t>
        </is>
      </c>
      <c r="C1" s="12" t="inlineStr">
        <is>
          <t>主要职责</t>
        </is>
      </c>
      <c r="D1" s="12" t="inlineStr">
        <is>
          <t>参与周期</t>
        </is>
      </c>
      <c r="E1" s="12" t="n"/>
    </row>
    <row r="2">
      <c r="A2" s="13" t="inlineStr">
        <is>
          <t>王淦</t>
        </is>
      </c>
      <c r="B2" s="13" t="inlineStr">
        <is>
          <t>组长 / 全栈统筹</t>
        </is>
      </c>
      <c r="C2" s="13" t="inlineStr">
        <is>
          <t>项目计划、需求把控、架构设计、代码质量、关键模块联调</t>
        </is>
      </c>
      <c r="D2" s="13" t="inlineStr">
        <is>
          <t>全周期</t>
        </is>
      </c>
      <c r="E2" s="13" t="n"/>
    </row>
    <row r="3">
      <c r="A3" s="13" t="inlineStr">
        <is>
          <t>朱自豪</t>
        </is>
      </c>
      <c r="B3" s="13" t="inlineStr">
        <is>
          <t>后端与算法开发</t>
        </is>
      </c>
      <c r="C3" s="13" t="inlineStr">
        <is>
          <t>FastAPI接口、数据库模型、内容分析、推荐算法、权限与日志</t>
        </is>
      </c>
      <c r="D3" s="13" t="inlineStr">
        <is>
          <t>D1-D14</t>
        </is>
      </c>
      <c r="E3" s="13" t="n"/>
    </row>
    <row r="4">
      <c r="A4" s="13" t="inlineStr">
        <is>
          <t>秦梓洋</t>
        </is>
      </c>
      <c r="B4" s="13" t="inlineStr">
        <is>
          <t>前端与测试文档</t>
        </is>
      </c>
      <c r="C4" s="13" t="inlineStr">
        <is>
          <t>Vue页面、数据看板、交互联调、测试用例、演示材料</t>
        </is>
      </c>
      <c r="D4" s="13" t="inlineStr">
        <is>
          <t>D1-D14</t>
        </is>
      </c>
      <c r="E4" s="13" t="n"/>
    </row>
    <row r="5">
      <c r="A5" s="13" t="n"/>
      <c r="B5" s="13" t="n"/>
      <c r="C5" s="13" t="n"/>
      <c r="D5" s="13" t="n"/>
      <c r="E5" s="13" t="n"/>
    </row>
    <row r="6">
      <c r="A6" s="13" t="inlineStr">
        <is>
          <t>姓名</t>
        </is>
      </c>
      <c r="B6" s="13" t="inlineStr">
        <is>
          <t>负责任务数</t>
        </is>
      </c>
      <c r="C6" s="13" t="inlineStr">
        <is>
          <t>高优先级任务数</t>
        </is>
      </c>
      <c r="D6" s="13" t="inlineStr">
        <is>
          <t>涉及里程碑</t>
        </is>
      </c>
      <c r="E6" s="13" t="inlineStr">
        <is>
          <t>备注</t>
        </is>
      </c>
    </row>
    <row r="7">
      <c r="A7" s="13" t="inlineStr">
        <is>
          <t>王淦</t>
        </is>
      </c>
      <c r="B7" s="13">
        <f>COUNTIF('14天时间表'!F:F,A7)</f>
        <v/>
      </c>
      <c r="C7" s="13">
        <f>COUNTIFS('14天时间表'!F:F,A7,'14天时间表'!I:I,"高")</f>
        <v/>
      </c>
      <c r="D7" s="13">
        <f>TEXTJOIN("、",TRUE,UNIQUE(FILTER('14天时间表'!H:H,'14天时间表'!F:F=A7)))</f>
        <v/>
      </c>
      <c r="E7" s="13" t="inlineStr">
        <is>
          <t>按主责任务统计</t>
        </is>
      </c>
    </row>
    <row r="8">
      <c r="A8" s="13" t="inlineStr">
        <is>
          <t>朱自豪</t>
        </is>
      </c>
      <c r="B8" s="13">
        <f>COUNTIF('14天时间表'!F:F,A8)</f>
        <v/>
      </c>
      <c r="C8" s="13">
        <f>COUNTIFS('14天时间表'!F:F,A8,'14天时间表'!I:I,"高")</f>
        <v/>
      </c>
      <c r="D8" s="13">
        <f>TEXTJOIN("、",TRUE,UNIQUE(FILTER('14天时间表'!H:H,'14天时间表'!F:F=A8)))</f>
        <v/>
      </c>
      <c r="E8" s="13" t="inlineStr">
        <is>
          <t>按主责任务统计</t>
        </is>
      </c>
    </row>
    <row r="9">
      <c r="A9" s="13" t="inlineStr">
        <is>
          <t>秦梓洋</t>
        </is>
      </c>
      <c r="B9" s="13">
        <f>COUNTIF('14天时间表'!F:F,A9)</f>
        <v/>
      </c>
      <c r="C9" s="13">
        <f>COUNTIFS('14天时间表'!F:F,A9,'14天时间表'!I:I,"高")</f>
        <v/>
      </c>
      <c r="D9" s="13">
        <f>TEXTJOIN("、",TRUE,UNIQUE(FILTER('14天时间表'!H:H,'14天时间表'!F:F=A9)))</f>
        <v/>
      </c>
      <c r="E9" s="13" t="inlineStr">
        <is>
          <t>按主责任务统计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10" customWidth="1" min="4" max="4"/>
    <col width="48" customWidth="1" min="5" max="5"/>
    <col width="14" customWidth="1" min="6" max="6"/>
  </cols>
  <sheetData>
    <row r="1">
      <c r="A1" s="12" t="inlineStr">
        <is>
          <t>风险编号</t>
        </is>
      </c>
      <c r="B1" s="12" t="inlineStr">
        <is>
          <t>风险描述</t>
        </is>
      </c>
      <c r="C1" s="12" t="inlineStr">
        <is>
          <t>概率</t>
        </is>
      </c>
      <c r="D1" s="12" t="inlineStr">
        <is>
          <t>影响</t>
        </is>
      </c>
      <c r="E1" s="12" t="inlineStr">
        <is>
          <t>应对策略</t>
        </is>
      </c>
      <c r="F1" s="12" t="inlineStr">
        <is>
          <t>负责人</t>
        </is>
      </c>
    </row>
    <row r="2">
      <c r="A2" s="13" t="inlineStr">
        <is>
          <t>R1</t>
        </is>
      </c>
      <c r="B2" s="13" t="inlineStr">
        <is>
          <t>14天周期较短，功能范围较大</t>
        </is>
      </c>
      <c r="C2" s="13" t="inlineStr">
        <is>
          <t>高</t>
        </is>
      </c>
      <c r="D2" s="13" t="inlineStr">
        <is>
          <t>高</t>
        </is>
      </c>
      <c r="E2" s="13" t="inlineStr">
        <is>
          <t>按P0/P1/P2分层交付，先保证可运行闭环</t>
        </is>
      </c>
      <c r="F2" s="13" t="inlineStr">
        <is>
          <t>王淦</t>
        </is>
      </c>
    </row>
    <row r="3">
      <c r="A3" s="13" t="inlineStr">
        <is>
          <t>R2</t>
        </is>
      </c>
      <c r="B3" s="13" t="inlineStr">
        <is>
          <t>推荐算法效果可能偏演示级</t>
        </is>
      </c>
      <c r="C3" s="13" t="inlineStr">
        <is>
          <t>中</t>
        </is>
      </c>
      <c r="D3" s="13" t="inlineStr">
        <is>
          <t>中</t>
        </is>
      </c>
      <c r="E3" s="13" t="inlineStr">
        <is>
          <t>明确采用规则+轻量模型，保留后续大模型/NLP扩展点</t>
        </is>
      </c>
      <c r="F3" s="13" t="inlineStr">
        <is>
          <t>朱自豪</t>
        </is>
      </c>
    </row>
    <row r="4">
      <c r="A4" s="13" t="inlineStr">
        <is>
          <t>R3</t>
        </is>
      </c>
      <c r="B4" s="13" t="inlineStr">
        <is>
          <t>前后端接口字段不一致导致联调延误</t>
        </is>
      </c>
      <c r="C4" s="13" t="inlineStr">
        <is>
          <t>中</t>
        </is>
      </c>
      <c r="D4" s="13" t="inlineStr">
        <is>
          <t>高</t>
        </is>
      </c>
      <c r="E4" s="13" t="inlineStr">
        <is>
          <t>D2完成接口清单，联调前冻结字段，变更需记录</t>
        </is>
      </c>
      <c r="F4" s="13" t="inlineStr">
        <is>
          <t>王淦</t>
        </is>
      </c>
    </row>
    <row r="5">
      <c r="A5" s="13" t="inlineStr">
        <is>
          <t>R4</t>
        </is>
      </c>
      <c r="B5" s="13" t="inlineStr">
        <is>
          <t>真实RSS源不可用或格式不统一</t>
        </is>
      </c>
      <c r="C5" s="13" t="inlineStr">
        <is>
          <t>中</t>
        </is>
      </c>
      <c r="D5" s="13" t="inlineStr">
        <is>
          <t>中</t>
        </is>
      </c>
      <c r="E5" s="13" t="inlineStr">
        <is>
          <t>保留内置演示源和异常处理，采集失败不影响核心演示</t>
        </is>
      </c>
      <c r="F5" s="13" t="inlineStr">
        <is>
          <t>朱自豪</t>
        </is>
      </c>
    </row>
    <row r="6">
      <c r="A6" s="13" t="inlineStr">
        <is>
          <t>R5</t>
        </is>
      </c>
      <c r="B6" s="13" t="inlineStr">
        <is>
          <t>页面像普通后台，分析平台感不足</t>
        </is>
      </c>
      <c r="C6" s="13" t="inlineStr">
        <is>
          <t>中</t>
        </is>
      </c>
      <c r="D6" s="13" t="inlineStr">
        <is>
          <t>中</t>
        </is>
      </c>
      <c r="E6" s="13" t="inlineStr">
        <is>
          <t>优先完成指标卡、图表、推荐效果分析和数据洞察首页</t>
        </is>
      </c>
      <c r="F6" s="13" t="inlineStr">
        <is>
          <t>秦梓洋</t>
        </is>
      </c>
    </row>
    <row r="7">
      <c r="A7" s="13" t="n"/>
      <c r="B7" s="13" t="n"/>
      <c r="C7" s="13" t="n"/>
      <c r="D7" s="13" t="n"/>
      <c r="E7" s="13" t="n"/>
      <c r="F7" s="13" t="n"/>
    </row>
    <row r="8">
      <c r="A8" s="13" t="inlineStr">
        <is>
          <t>验收项</t>
        </is>
      </c>
      <c r="B8" s="13" t="inlineStr">
        <is>
          <t>验收标准</t>
        </is>
      </c>
      <c r="C8" s="13" t="inlineStr">
        <is>
          <t>负责人</t>
        </is>
      </c>
      <c r="D8" s="13" t="inlineStr">
        <is>
          <t>状态</t>
        </is>
      </c>
      <c r="E8" s="13" t="n"/>
      <c r="F8" s="13" t="n"/>
    </row>
    <row r="9">
      <c r="A9" s="13" t="inlineStr">
        <is>
          <t>后端服务</t>
        </is>
      </c>
      <c r="B9" s="13" t="inlineStr">
        <is>
          <t>FastAPI可启动，/docs可访问，核心接口返回统一格式</t>
        </is>
      </c>
      <c r="C9" s="13" t="inlineStr">
        <is>
          <t>朱自豪</t>
        </is>
      </c>
      <c r="D9" s="13" t="inlineStr">
        <is>
          <t>未开始</t>
        </is>
      </c>
      <c r="E9" s="13" t="n"/>
      <c r="F9" s="13" t="n"/>
    </row>
    <row r="10">
      <c r="A10" s="13" t="inlineStr">
        <is>
          <t>前端服务</t>
        </is>
      </c>
      <c r="B10" s="13" t="inlineStr">
        <is>
          <t>Vue页面可启动，核心页面可访问，菜单权限显示合理</t>
        </is>
      </c>
      <c r="C10" s="13" t="inlineStr">
        <is>
          <t>秦梓洋</t>
        </is>
      </c>
      <c r="D10" s="13" t="inlineStr">
        <is>
          <t>未开始</t>
        </is>
      </c>
      <c r="E10" s="13" t="n"/>
      <c r="F10" s="13" t="n"/>
    </row>
    <row r="11">
      <c r="A11" s="13" t="inlineStr">
        <is>
          <t>内容闭环</t>
        </is>
      </c>
      <c r="B11" s="13" t="inlineStr">
        <is>
          <t>内容可采集、新增、编辑、分析、审核和展示</t>
        </is>
      </c>
      <c r="C11" s="13" t="inlineStr">
        <is>
          <t>朱自豪</t>
        </is>
      </c>
      <c r="D11" s="13" t="inlineStr">
        <is>
          <t>未开始</t>
        </is>
      </c>
      <c r="E11" s="13" t="n"/>
      <c r="F11" s="13" t="n"/>
    </row>
    <row r="12">
      <c r="A12" s="13" t="inlineStr">
        <is>
          <t>推荐闭环</t>
        </is>
      </c>
      <c r="B12" s="13" t="inlineStr">
        <is>
          <t>行为记录可影响画像，推荐结果包含推荐原因</t>
        </is>
      </c>
      <c r="C12" s="13" t="inlineStr">
        <is>
          <t>朱自豪</t>
        </is>
      </c>
      <c r="D12" s="13" t="inlineStr">
        <is>
          <t>未开始</t>
        </is>
      </c>
      <c r="E12" s="13" t="n"/>
      <c r="F12" s="13" t="n"/>
    </row>
    <row r="13">
      <c r="A13" s="13" t="inlineStr">
        <is>
          <t>数据看板</t>
        </is>
      </c>
      <c r="B13" s="13" t="inlineStr">
        <is>
          <t>指标卡、趋势图、分类分布、推荐效果统计可展示</t>
        </is>
      </c>
      <c r="C13" s="13" t="inlineStr">
        <is>
          <t>秦梓洋</t>
        </is>
      </c>
      <c r="D13" s="13" t="inlineStr">
        <is>
          <t>未开始</t>
        </is>
      </c>
      <c r="E13" s="13" t="n"/>
      <c r="F13" s="13" t="n"/>
    </row>
    <row r="14">
      <c r="A14" s="13" t="inlineStr">
        <is>
          <t>文档交付</t>
        </is>
      </c>
      <c r="B14" s="13" t="inlineStr">
        <is>
          <t>README、演示账号、启动说明、项目亮点和已知问题完整</t>
        </is>
      </c>
      <c r="C14" s="13" t="inlineStr">
        <is>
          <t>王淦</t>
        </is>
      </c>
      <c r="D14" s="13" t="inlineStr">
        <is>
          <t>未开始</t>
        </is>
      </c>
      <c r="E14" s="13" t="n"/>
      <c r="F14" s="1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7" t="inlineStr">
        <is>
          <t>成员</t>
        </is>
      </c>
      <c r="B1" s="17" t="inlineStr">
        <is>
          <t>负责任务数</t>
        </is>
      </c>
      <c r="C1" s="17" t="inlineStr">
        <is>
          <t>高优先级任务数</t>
        </is>
      </c>
    </row>
    <row r="2">
      <c r="A2" s="2" t="inlineStr">
        <is>
          <t>王淦</t>
        </is>
      </c>
      <c r="B2" s="2">
        <f>COUNTIF('14天时间表'!F:F,A2)</f>
        <v/>
      </c>
      <c r="C2" s="2">
        <f>COUNTIFS('14天时间表'!F:F,A2,'14天时间表'!I:I,"高")</f>
        <v/>
      </c>
    </row>
    <row r="3">
      <c r="A3" s="2" t="inlineStr">
        <is>
          <t>朱自豪</t>
        </is>
      </c>
      <c r="B3" s="2">
        <f>COUNTIF('14天时间表'!F:F,A3)</f>
        <v/>
      </c>
      <c r="C3" s="2">
        <f>COUNTIFS('14天时间表'!F:F,A3,'14天时间表'!I:I,"高")</f>
        <v/>
      </c>
    </row>
    <row r="4">
      <c r="A4" s="2" t="inlineStr">
        <is>
          <t>秦梓洋</t>
        </is>
      </c>
      <c r="B4" s="2">
        <f>COUNTIF('14天时间表'!F:F,A4)</f>
        <v/>
      </c>
      <c r="C4" s="2">
        <f>COUNTIFS('14天时间表'!F:F,A4,'14天时间表'!I:I,"高")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2026-05-28T08:07:25Z</dcterms:created>
  <dcterms:modified xsi:type="dcterms:W3CDTF">2026-05-28T08:07:25Z</dcterms:modified>
</cp:coreProperties>
</file>